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25751ed9e345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brary MoSCoW" sheetId="1" r:id="R73a95a4c703a40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0F766E"/>
      </x:patternFill>
    </x:fill>
    <x:fill>
      <x:patternFill patternType="solid">
        <x:fgColor rgb="FF0F766E"/>
      </x:patternFill>
    </x:fill>
    <x:fill>
      <x:patternFill patternType="solid">
        <x:fgColor rgb="FF0F766E"/>
      </x:patternFill>
    </x:fill>
    <x:fill>
      <x:patternFill patternType="solid">
        <x:fgColor rgb="FF0F766E"/>
      </x:patternFill>
    </x:fill>
    <x:fill>
      <x:patternFill patternType="solid">
        <x:fgColor rgb="FF0F766E"/>
      </x:patternFill>
    </x:fill>
    <x:fill>
      <x:patternFill patternType="solid">
        <x:fgColor rgb="FF0F766E"/>
      </x:patternFill>
    </x:fill>
    <x:fill>
      <x:patternFill patternType="solid">
        <x:fgColor rgb="FF0F766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0" fontId="2" fillId="5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wrapText="1"/>
    </x:xf>
    <x:xf numFmtId="0" fontId="2" fillId="8" borderId="0" xfId="0" applyNumberFormat="1" applyFont="1" applyFill="1" applyBorder="1" applyAlignment="1">
      <x:alignment vertical="center" wrapText="1"/>
    </x:xf>
    <x:xf numFmtId="0" fontId="1" fillId="8" borderId="0" xfId="0" applyNumberFormat="1" applyFont="1" applyFill="1" applyBorder="1" applyAlignment="1">
      <x:alignment wrapText="1"/>
    </x:xf>
    <x:xf numFmtId="0" fontId="2" fillId="9" borderId="0" xfId="0" applyNumberFormat="1" applyFont="1" applyFill="1" applyBorder="1" applyAlignment="1">
      <x:alignment vertical="center" wrapText="1"/>
    </x:xf>
    <x:xf numFmtId="0" fontId="1" fillId="9" borderId="0" xfId="0" applyNumberFormat="1" applyFont="1" applyFill="1" applyBorder="1" applyAlignment="1">
      <x:alignment wrapText="1"/>
    </x:xf>
  </x:cellXfs>
  <x:cellStyles count="1">
    <x:cellStyle name="Normal" xfId="0"/>
  </x:cellStyles>
  <x:dxfs count="28"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1F4E78"/>
      </x:font>
      <x:fill>
        <x:patternFill>
          <x:bgColor rgb="FFDDEBF7"/>
        </x:patternFill>
      </x:fill>
    </x:dxf>
    <x:dxf>
      <x:font>
        <x:b/>
        <x:color rgb="FF990000"/>
      </x:font>
      <x:fill>
        <x:patternFill>
          <x:bgColor rgb="FFF4CCCC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1F4E78"/>
      </x:font>
      <x:fill>
        <x:patternFill>
          <x:bgColor rgb="FFDDEBF7"/>
        </x:patternFill>
      </x:fill>
    </x:dxf>
    <x:dxf>
      <x:font>
        <x:b/>
        <x:color rgb="FF990000"/>
      </x:font>
      <x:fill>
        <x:patternFill>
          <x:bgColor rgb="FFF4CCCC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1F4E78"/>
      </x:font>
      <x:fill>
        <x:patternFill>
          <x:bgColor rgb="FFDDEBF7"/>
        </x:patternFill>
      </x:fill>
    </x:dxf>
    <x:dxf>
      <x:font>
        <x:b/>
        <x:color rgb="FF990000"/>
      </x:font>
      <x:fill>
        <x:patternFill>
          <x:bgColor rgb="FFF4CCCC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1F4E78"/>
      </x:font>
      <x:fill>
        <x:patternFill>
          <x:bgColor rgb="FFDDEBF7"/>
        </x:patternFill>
      </x:fill>
    </x:dxf>
    <x:dxf>
      <x:font>
        <x:b/>
        <x:color rgb="FF990000"/>
      </x:font>
      <x:fill>
        <x:patternFill>
          <x:bgColor rgb="FFF4CCCC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1F4E78"/>
      </x:font>
      <x:fill>
        <x:patternFill>
          <x:bgColor rgb="FFDDEBF7"/>
        </x:patternFill>
      </x:fill>
    </x:dxf>
    <x:dxf>
      <x:font>
        <x:b/>
        <x:color rgb="FF990000"/>
      </x:font>
      <x:fill>
        <x:patternFill>
          <x:bgColor rgb="FFF4CCCC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1F4E78"/>
      </x:font>
      <x:fill>
        <x:patternFill>
          <x:bgColor rgb="FFDDEBF7"/>
        </x:patternFill>
      </x:fill>
    </x:dxf>
    <x:dxf>
      <x:font>
        <x:b/>
        <x:color rgb="FF990000"/>
      </x:font>
      <x:fill>
        <x:patternFill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1F4E78"/>
      </x:font>
      <x:fill>
        <x:patternFill patternType="solid">
          <x:bgColor rgb="FFDDEBF7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d8e26c732445a8" /><Relationship Type="http://schemas.openxmlformats.org/officeDocument/2006/relationships/theme" Target="/xl/theme/theme1.xml" Id="R890c534fca6c45a3" /><Relationship Type="http://schemas.openxmlformats.org/officeDocument/2006/relationships/sharedStrings" Target="/xl/sharedStrings.xml" Id="R1b2a924359124c3b" /><Relationship Type="http://schemas.openxmlformats.org/officeDocument/2006/relationships/worksheet" Target="/xl/worksheets/sheet1.xml" Id="R73a95a4c703a401c" /></Relationships>
</file>

<file path=xl/tables/table1.xml><?xml version="1.0" encoding="utf-8"?>
<x:table xmlns:x="http://schemas.openxmlformats.org/spreadsheetml/2006/main" id="1" name="LibraryPriorityRegister" displayName="LibraryPriorityRegister" ref="A1:J11" headerRowCount="1" totalsRowCount="0" totalsRowShown="0">
  <x:autoFilter ref="A1:J11"/>
  <x:tableColumns count="10">
    <x:tableColumn id="1" name="ID"/>
    <x:tableColumn id="2" name="Requirement"/>
    <x:tableColumn id="3" name="User"/>
    <x:tableColumn id="4" name="Impact"/>
    <x:tableColumn id="5" name="Feasibility"/>
    <x:tableColumn id="6" name="MoSCoW"/>
    <x:tableColumn id="7" name="Rationale"/>
    <x:tableColumn id="8" name="Effort (person-days)"/>
    <x:tableColumn id="9" name="Rough labor cost (₹)"/>
    <x:tableColumn id="10" name="Delivery 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42dff652c1a4f5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42" hidden="0" customWidth="1"/>
    <x:col min="3" max="3" width="16" hidden="0" customWidth="1"/>
    <x:col min="4" max="4" width="32" hidden="0" customWidth="1"/>
    <x:col min="5" max="5" width="58" hidden="0" customWidth="1"/>
    <x:col min="6" max="6" width="22" hidden="0" customWidth="1"/>
    <x:col min="7" max="7" width="58" hidden="0" customWidth="1"/>
    <x:col min="8" max="8" width="18" hidden="0" customWidth="1"/>
    <x:col min="9" max="9" width="20" hidden="0" customWidth="1"/>
    <x:col min="10" max="10" width="58" hidden="0" customWidth="1"/>
  </x:cols>
  <x:sheetData>
    <x:row r="1" ht="36" customHeight="1">
      <x:c r="A1" s="23" t="str">
        <x:v>ID</x:v>
      </x:c>
      <x:c r="B1" s="23" t="str">
        <x:v>Requirement</x:v>
      </x:c>
      <x:c r="C1" s="23" t="str">
        <x:v>User</x:v>
      </x:c>
      <x:c r="D1" s="23" t="str">
        <x:v>Impact</x:v>
      </x:c>
      <x:c r="E1" s="23" t="str">
        <x:v>Feasibility</x:v>
      </x:c>
      <x:c r="F1" s="23" t="str">
        <x:v>MoSCoW</x:v>
      </x:c>
      <x:c r="G1" s="23" t="str">
        <x:v>Rationale</x:v>
      </x:c>
      <x:c r="H1" s="23" t="str">
        <x:v>Effort (person-days)</x:v>
      </x:c>
      <x:c r="I1" s="23" t="str">
        <x:v>Rough labor cost (₹)</x:v>
      </x:c>
      <x:c r="J1" s="23" t="str">
        <x:v>Delivery note</x:v>
      </x:c>
    </x:row>
    <x:row r="2">
      <x:c r="A2" s="11" t="str">
        <x:v>LIB-01</x:v>
      </x:c>
      <x:c r="B2" s="11" t="str">
        <x:v>Search books by title and author</x:v>
      </x:c>
      <x:c r="C2" s="11" t="str">
        <x:v>Student</x:v>
      </x:c>
      <x:c r="D2" s="11" t="str">
        <x:v>High</x:v>
      </x:c>
      <x:c r="E2" s="11" t="str">
        <x:v>High</x:v>
      </x:c>
      <x:c r="F2" s="11" t="str">
        <x:v>Must</x:v>
      </x:c>
      <x:c r="G2" s="11" t="str">
        <x:v>Primary way to discover books; standard catalogue fields make a first search practical.</x:v>
      </x:c>
      <x:c r="H2" s="11" t="n">
        <x:v>5</x:v>
      </x:c>
      <x:c r="I2" s="11" t="n">
        <x:f>H2*$E$16</x:f>
        <x:v>7500</x:v>
      </x:c>
      <x:c r="J2" s="11" t="str">
        <x:v>Define title/author matching and empty-result behavior.</x:v>
      </x:c>
    </x:row>
    <x:row r="3">
      <x:c r="A3" s="11" t="str">
        <x:v>LIB-02</x:v>
      </x:c>
      <x:c r="B3" s="11" t="str">
        <x:v>Reserve books online</x:v>
      </x:c>
      <x:c r="C3" s="11" t="str">
        <x:v>Student</x:v>
      </x:c>
      <x:c r="D3" s="11" t="str">
        <x:v>High</x:v>
      </x:c>
      <x:c r="E3" s="11" t="str">
        <x:v>Medium</x:v>
      </x:c>
      <x:c r="F3" s="11" t="str">
        <x:v>Must</x:v>
      </x:c>
      <x:c r="G3" s="11" t="str">
        <x:v>Core access capability; requires accurate copy availability and clear hold rules.</x:v>
      </x:c>
      <x:c r="H3" s="11" t="n">
        <x:v>8</x:v>
      </x:c>
      <x:c r="I3" s="11" t="n">
        <x:f>H3*$E$16</x:f>
        <x:v>12000</x:v>
      </x:c>
      <x:c r="J3" s="11" t="str">
        <x:v>Confirm copy availability, queue rules, cancellation, and duplicate prevention.</x:v>
      </x:c>
    </x:row>
    <x:row r="4">
      <x:c r="A4" s="11" t="str">
        <x:v>LIB-03</x:v>
      </x:c>
      <x:c r="B4" s="11" t="str">
        <x:v>Generate monthly borrowed-book reports</x:v>
      </x:c>
      <x:c r="C4" s="11" t="str">
        <x:v>Administrator</x:v>
      </x:c>
      <x:c r="D4" s="11" t="str">
        <x:v>High</x:v>
      </x:c>
      <x:c r="E4" s="11" t="str">
        <x:v>Medium</x:v>
      </x:c>
      <x:c r="F4" s="11" t="str">
        <x:v>Should</x:v>
      </x:c>
      <x:c r="G4" s="11" t="str">
        <x:v>Supports monthly oversight; define report fields, permissions, and date boundaries.</x:v>
      </x:c>
      <x:c r="H4" s="11" t="n">
        <x:v>4</x:v>
      </x:c>
      <x:c r="I4" s="11" t="n">
        <x:f>H4*$E$16</x:f>
        <x:v>6000</x:v>
      </x:c>
      <x:c r="J4" s="11" t="str">
        <x:v>Agree report fields, administrator access, and month boundaries.</x:v>
      </x:c>
    </x:row>
    <x:row r="5">
      <x:c r="A5" s="11" t="str">
        <x:v>LIB-04</x:v>
      </x:c>
      <x:c r="B5" s="11" t="str">
        <x:v>Send overdue-book email notifications</x:v>
      </x:c>
      <x:c r="C5" s="11" t="str">
        <x:v>Borrower</x:v>
      </x:c>
      <x:c r="D5" s="11" t="str">
        <x:v>Medium</x:v>
      </x:c>
      <x:c r="E5" s="11" t="str">
        <x:v>High</x:v>
      </x:c>
      <x:c r="F5" s="11" t="str">
        <x:v>Should</x:v>
      </x:c>
      <x:c r="G5" s="11" t="str">
        <x:v>Can reduce missed due dates; requires reliable scheduled email and retry handling.</x:v>
      </x:c>
      <x:c r="H5" s="11" t="n">
        <x:v>3</x:v>
      </x:c>
      <x:c r="I5" s="11" t="n">
        <x:f>H5*$E$16</x:f>
        <x:v>4500</x:v>
      </x:c>
      <x:c r="J5" s="11" t="str">
        <x:v>Requires scheduled email delivery, retry, and opt-out behavior.</x:v>
      </x:c>
    </x:row>
    <x:row r="6">
      <x:c r="A6" s="11" t="str">
        <x:v>LIB-05</x:v>
      </x:c>
      <x:c r="B6" s="11" t="str">
        <x:v>Scan QR codes for borrowing and returns</x:v>
      </x:c>
      <x:c r="C6" s="11" t="str">
        <x:v>Librarian</x:v>
      </x:c>
      <x:c r="D6" s="11" t="str">
        <x:v>Medium</x:v>
      </x:c>
      <x:c r="E6" s="11" t="str">
        <x:v>Medium</x:v>
      </x:c>
      <x:c r="F6" s="11" t="str">
        <x:v>Could</x:v>
      </x:c>
      <x:c r="G6" s="11" t="str">
        <x:v>Speeds desk transactions but depends on devices and a manual fallback.</x:v>
      </x:c>
      <x:c r="H6" s="11" t="n">
        <x:v>4</x:v>
      </x:c>
      <x:c r="I6" s="11" t="n">
        <x:f>H6*$E$16</x:f>
        <x:v>6000</x:v>
      </x:c>
      <x:c r="J6" s="11" t="str">
        <x:v>Check QR scanner devices and fallback manual entry at circulation desks.</x:v>
      </x:c>
    </x:row>
    <x:row r="7">
      <x:c r="A7" s="11" t="str">
        <x:v>LIB-06</x:v>
      </x:c>
      <x:c r="B7" s="11" t="str">
        <x:v>Provide a librarian dashboard</x:v>
      </x:c>
      <x:c r="C7" s="11" t="str">
        <x:v>Librarian</x:v>
      </x:c>
      <x:c r="D7" s="11" t="str">
        <x:v>High</x:v>
      </x:c>
      <x:c r="E7" s="11" t="str">
        <x:v>Medium</x:v>
      </x:c>
      <x:c r="F7" s="11" t="str">
        <x:v>Must</x:v>
      </x:c>
      <x:c r="G7" s="11" t="str">
        <x:v>Makes circulation and availability visible; depends on trustworthy source data.</x:v>
      </x:c>
      <x:c r="H7" s="11" t="n">
        <x:v>5</x:v>
      </x:c>
      <x:c r="I7" s="11" t="n">
        <x:f>H7*$E$16</x:f>
        <x:v>7500</x:v>
      </x:c>
      <x:c r="J7" s="11" t="str">
        <x:v>Confirm librarian roles, accessibility, and source data for the dashboard.</x:v>
      </x:c>
    </x:row>
    <x:row r="8">
      <x:c r="A8" s="11" t="str">
        <x:v>LIB-07</x:v>
      </x:c>
      <x:c r="B8" s="11" t="str">
        <x:v>Let users review and rate books</x:v>
      </x:c>
      <x:c r="C8" s="11" t="str">
        <x:v>Borrower</x:v>
      </x:c>
      <x:c r="D8" s="11" t="str">
        <x:v>Medium</x:v>
      </x:c>
      <x:c r="E8" s="11" t="str">
        <x:v>High</x:v>
      </x:c>
      <x:c r="F8" s="11" t="str">
        <x:v>Could</x:v>
      </x:c>
      <x:c r="G8" s="11" t="str">
        <x:v>Adds community feedback; moderation and verified-borrower rules need definition.</x:v>
      </x:c>
      <x:c r="H8" s="11" t="n">
        <x:v>3</x:v>
      </x:c>
      <x:c r="I8" s="11" t="n">
        <x:f>H8*$E$16</x:f>
        <x:v>4500</x:v>
      </x:c>
      <x:c r="J8" s="11" t="str">
        <x:v>Define moderation and verified-borrower rules for book reviews.</x:v>
      </x:c>
    </x:row>
    <x:row r="9">
      <x:c r="A9" s="11" t="str">
        <x:v>LIB-08</x:v>
      </x:c>
      <x:c r="B9" s="11" t="str">
        <x:v>Add a user-assistance chatbot</x:v>
      </x:c>
      <x:c r="C9" s="11" t="str">
        <x:v>Borrower</x:v>
      </x:c>
      <x:c r="D9" s="11" t="str">
        <x:v>Medium</x:v>
      </x:c>
      <x:c r="E9" s="11" t="str">
        <x:v>Low</x:v>
      </x:c>
      <x:c r="F9" s="11" t="str">
        <x:v>Won’t this release</x:v>
      </x:c>
      <x:c r="G9" s="11" t="str">
        <x:v>Defer until approved support content, privacy limits, and response ownership are clear.</x:v>
      </x:c>
      <x:c r="H9" s="11" t="n">
        <x:v>8</x:v>
      </x:c>
      <x:c r="I9" s="11" t="n">
        <x:f>H9*$E$16</x:f>
        <x:v>12000</x:v>
      </x:c>
      <x:c r="J9" s="11" t="str">
        <x:v>Defer until support content, privacy boundaries, and response ownership are defined.</x:v>
      </x:c>
    </x:row>
    <x:row r="10">
      <x:c r="A10" s="11" t="str">
        <x:v>LIB-09</x:v>
      </x:c>
      <x:c r="B10" s="11" t="str">
        <x:v>Develop a mobile app version</x:v>
      </x:c>
      <x:c r="C10" s="11" t="str">
        <x:v>Borrower</x:v>
      </x:c>
      <x:c r="D10" s="11" t="str">
        <x:v>High</x:v>
      </x:c>
      <x:c r="E10" s="11" t="str">
        <x:v>Low</x:v>
      </x:c>
      <x:c r="F10" s="11" t="str">
        <x:v>Could</x:v>
      </x:c>
      <x:c r="G10" s="11" t="str">
        <x:v>Separate platform testing and release work; assess responsive web before native apps.</x:v>
      </x:c>
      <x:c r="H10" s="11" t="n">
        <x:v>10</x:v>
      </x:c>
      <x:c r="I10" s="11" t="n">
        <x:f>H10*$E$16</x:f>
        <x:v>15000</x:v>
      </x:c>
      <x:c r="J10" s="11" t="str">
        <x:v>Mobile scope adds platform testing and release effort; assess responsive web first.</x:v>
      </x:c>
    </x:row>
    <x:row r="11">
      <x:c r="A11" s="11" t="str">
        <x:v>LIB-10</x:v>
      </x:c>
      <x:c r="B11" s="11" t="str">
        <x:v>Provide multilingual support</x:v>
      </x:c>
      <x:c r="C11" s="11" t="str">
        <x:v>Student</x:v>
      </x:c>
      <x:c r="D11" s="11" t="str">
        <x:v>Medium</x:v>
      </x:c>
      <x:c r="E11" s="11" t="str">
        <x:v>Medium</x:v>
      </x:c>
      <x:c r="F11" s="11" t="str">
        <x:v>Should</x:v>
      </x:c>
      <x:c r="G11" s="11" t="str">
        <x:v>Choose languages using demand evidence and assign translation/review ownership.</x:v>
      </x:c>
      <x:c r="H11" s="11" t="n">
        <x:v>6</x:v>
      </x:c>
      <x:c r="I11" s="11" t="n">
        <x:f>H11*$E$16</x:f>
        <x:v>9000</x:v>
      </x:c>
      <x:c r="J11" s="11" t="str">
        <x:v>Prioritize high-demand languages and translation/review ownership.</x:v>
      </x:c>
    </x:row>
    <x:row r="13" ht="15" hidden="0" customHeight="1">
      <x:c r="A13" s="24" t="str">
        <x:v>MoSCoW summary</x:v>
      </x:c>
      <x:c r="B13" s="24" t="str">
        <x:v>Count</x:v>
      </x:c>
      <x:c r="C13" s="4"/>
      <x:c r="D13" s="24" t="str">
        <x:v>Planning assumptions</x:v>
      </x:c>
      <x:c r="E13" s="24" t="str">
        <x:v>Value</x:v>
      </x:c>
      <x:c r="H13" t="str">
        <x:v>Total effort (person-days)</x:v>
      </x:c>
      <x:c r="I13" t="n">
        <x:f>SUM(H2:H11)</x:f>
        <x:v>56</x:v>
      </x:c>
    </x:row>
    <x:row r="14" ht="15" hidden="0" customHeight="1">
      <x:c r="A14" s="4" t="str">
        <x:v>Must</x:v>
      </x:c>
      <x:c r="B14" s="4" t="n">
        <x:f>COUNTIF($F$2:$F$11,A14)</x:f>
        <x:v>3</x:v>
      </x:c>
      <x:c r="C14" s="4"/>
      <x:c r="D14" s="4" t="str">
        <x:v>Release horizon</x:v>
      </x:c>
      <x:c r="E14" s="4" t="str">
        <x:v>8 weeks; first release only</x:v>
      </x:c>
      <x:c r="H14" t="str">
        <x:v>Rough labor cost (₹)</x:v>
      </x:c>
      <x:c r="I14" t="n">
        <x:f>SUM(I2:I11)</x:f>
        <x:v>84000</x:v>
      </x:c>
    </x:row>
    <x:row r="15" ht="15" hidden="0" customHeight="1">
      <x:c r="A15" s="4" t="str">
        <x:v>Should</x:v>
      </x:c>
      <x:c r="B15" s="4" t="n">
        <x:f>COUNTIF($F$2:$F$11,A15)</x:f>
        <x:v>3</x:v>
      </x:c>
      <x:c r="C15" s="4"/>
      <x:c r="D15" s="4" t="str">
        <x:v>Team</x:v>
      </x:c>
      <x:c r="E15" s="4" t="str">
        <x:v>1 product owner, 1 librarian, 2 engineers, part-time QA</x:v>
      </x:c>
    </x:row>
    <x:row r="16" ht="15" hidden="0" customHeight="1">
      <x:c r="A16" s="4" t="str">
        <x:v>Could</x:v>
      </x:c>
      <x:c r="B16" s="4" t="n">
        <x:f>COUNTIF($F$2:$F$11,A16)</x:f>
        <x:v>3</x:v>
      </x:c>
      <x:c r="C16" s="4"/>
      <x:c r="D16" s="4" t="str">
        <x:v>Blended cost / person-day (₹)</x:v>
      </x:c>
      <x:c r="E16" s="4" t="n">
        <x:v>1500</x:v>
      </x:c>
    </x:row>
    <x:row r="17" ht="15" hidden="0" customHeight="1">
      <x:c r="A17" s="4" t="str">
        <x:v>Won’t this release</x:v>
      </x:c>
      <x:c r="B17" s="4" t="n">
        <x:f>COUNTIF($F$2:$F$11,A17)</x:f>
        <x:v>1</x:v>
      </x:c>
      <x:c r="C17" s="4"/>
      <x:c r="D17" s="4" t="str">
        <x:v>Cost note</x:v>
      </x:c>
      <x:c r="E17" s="4" t="str">
        <x:v>₹ per person-day, blended planning rate; excludes hosting and devices</x:v>
      </x:c>
    </x:row>
    <x:row r="18" ht="15" hidden="0" customHeight="1">
      <x:c r="A18" s="4"/>
      <x:c r="B18" s="4"/>
      <x:c r="C18" s="4"/>
      <x:c r="D18" s="4" t="str">
        <x:v>Existing systems</x:v>
      </x:c>
      <x:c r="E18" s="4" t="str">
        <x:v>Catalogue and circulation records are available through documented exports</x:v>
      </x:c>
    </x:row>
    <x:row r="19" ht="15" hidden="0" customHeight="1">
      <x:c r="A19" s="4"/>
      <x:c r="B19" s="4"/>
      <x:c r="C19" s="4"/>
      <x:c r="D19" s="4" t="str">
        <x:v>Estimate caveat</x:v>
      </x:c>
      <x:c r="E19" s="4" t="str">
        <x:v>Rough relative estimates; not vendor quotes or approved budget</x:v>
      </x:c>
    </x:row>
  </x:sheetData>
  <x:conditionalFormatting sqref="F2:F11">
    <x:cfRule type="containsText" dxfId="0" priority="1" operator="containsText" text="Must"/>
    <x:cfRule type="containsText" dxfId="1" priority="2" operator="containsText" text="Should"/>
    <x:cfRule type="containsText" dxfId="2" priority="3" operator="containsText" text="Could"/>
    <x:cfRule type="containsText" dxfId="3" priority="4" operator="containsText" text="Won’t"/>
    <x:cfRule type="containsText" dxfId="4" priority="5" operator="containsText" text="Must"/>
    <x:cfRule type="containsText" dxfId="5" priority="6" operator="containsText" text="Should"/>
    <x:cfRule type="containsText" dxfId="6" priority="7" operator="containsText" text="Could"/>
    <x:cfRule type="containsText" dxfId="7" priority="8" operator="containsText" text="Won’t"/>
    <x:cfRule type="containsText" dxfId="8" priority="9" operator="containsText" text="Must"/>
    <x:cfRule type="containsText" dxfId="9" priority="10" operator="containsText" text="Should"/>
    <x:cfRule type="containsText" dxfId="10" priority="11" operator="containsText" text="Could"/>
    <x:cfRule type="containsText" dxfId="11" priority="12" operator="containsText" text="Won’t"/>
    <x:cfRule type="containsText" dxfId="12" priority="13" operator="containsText" text="Must"/>
    <x:cfRule type="containsText" dxfId="13" priority="14" operator="containsText" text="Should"/>
    <x:cfRule type="containsText" dxfId="14" priority="15" operator="containsText" text="Could"/>
    <x:cfRule type="containsText" dxfId="15" priority="16" operator="containsText" text="Won’t"/>
    <x:cfRule type="containsText" dxfId="16" priority="17" operator="containsText" text="Must"/>
    <x:cfRule type="containsText" dxfId="17" priority="18" operator="containsText" text="Should"/>
    <x:cfRule type="containsText" dxfId="18" priority="19" operator="containsText" text="Could"/>
    <x:cfRule type="containsText" dxfId="19" priority="20" operator="containsText" text="Won’t"/>
    <x:cfRule type="containsText" dxfId="20" priority="21" operator="containsText" text="Must"/>
    <x:cfRule type="containsText" dxfId="21" priority="22" operator="containsText" text="Should"/>
    <x:cfRule type="containsText" dxfId="22" priority="23" operator="containsText" text="Could"/>
    <x:cfRule type="containsText" dxfId="23" priority="24" operator="containsText" text="Won’t"/>
    <x:cfRule type="containsText" dxfId="24" priority="25" operator="containsText" text="Must"/>
    <x:cfRule type="containsText" dxfId="25" priority="26" operator="containsText" text="Should"/>
    <x:cfRule type="containsText" dxfId="26" priority="27" operator="containsText" text="Could"/>
    <x:cfRule type="containsText" dxfId="27" priority="28" operator="containsText" text="Won’t"/>
  </x:conditionalFormatting>
  <x:dataValidations count="1">
    <x:dataValidation type="list" sqref="F2:F11">
      <x:formula1>"Must,Should,Could,Won’t this release"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42dff652c1a4f52"/>
  </x:tableParts>
</x:worksheet>
</file>